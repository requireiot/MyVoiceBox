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d\Documents\Documents\Projects\HomeAutomation\MyVoiceBox\"/>
    </mc:Choice>
  </mc:AlternateContent>
  <xr:revisionPtr revIDLastSave="0" documentId="13_ncr:1_{B9FB2E41-1EB1-4D9B-A416-FA7F1A071168}" xr6:coauthVersionLast="47" xr6:coauthVersionMax="47" xr10:uidLastSave="{00000000-0000-0000-0000-000000000000}"/>
  <bookViews>
    <workbookView xWindow="1345" yWindow="4673" windowWidth="14142" windowHeight="14373" xr2:uid="{E48811E5-C81B-48D0-81A0-D654C2788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H7" i="1"/>
  <c r="F7" i="1" s="1"/>
  <c r="G6" i="1"/>
  <c r="G9" i="1"/>
  <c r="G8" i="1"/>
  <c r="G7" i="1"/>
  <c r="G5" i="1"/>
  <c r="H6" i="1" s="1"/>
  <c r="I6" i="1" s="1"/>
  <c r="F5" i="1"/>
  <c r="G4" i="1"/>
  <c r="F4" i="1"/>
  <c r="H5" i="1" s="1"/>
  <c r="I5" i="1" s="1"/>
  <c r="G3" i="1"/>
  <c r="F3" i="1"/>
  <c r="H4" i="1" s="1"/>
  <c r="I4" i="1" s="1"/>
  <c r="G2" i="1"/>
  <c r="F2" i="1"/>
  <c r="H3" i="1" s="1"/>
  <c r="H8" i="1" l="1"/>
  <c r="I7" i="1"/>
  <c r="I8" i="1" l="1"/>
  <c r="F8" i="1"/>
  <c r="H9" i="1" s="1"/>
  <c r="I9" i="1" s="1"/>
  <c r="F9" i="1" l="1"/>
  <c r="H10" i="1" s="1"/>
  <c r="I10" i="1" s="1"/>
</calcChain>
</file>

<file path=xl/sharedStrings.xml><?xml version="1.0" encoding="utf-8"?>
<sst xmlns="http://schemas.openxmlformats.org/spreadsheetml/2006/main" count="45" uniqueCount="31">
  <si>
    <t>Name</t>
  </si>
  <si>
    <t>Subtype</t>
  </si>
  <si>
    <t>Offset</t>
  </si>
  <si>
    <t>Size</t>
  </si>
  <si>
    <t>Type</t>
  </si>
  <si>
    <t>nvs</t>
  </si>
  <si>
    <t>data</t>
  </si>
  <si>
    <t>9000</t>
  </si>
  <si>
    <t>5000</t>
  </si>
  <si>
    <t>otadata</t>
  </si>
  <si>
    <t>ota</t>
  </si>
  <si>
    <t>E000</t>
  </si>
  <si>
    <t>2000</t>
  </si>
  <si>
    <t>Offs calc</t>
  </si>
  <si>
    <t>app0</t>
  </si>
  <si>
    <t>app</t>
  </si>
  <si>
    <t>ota_0</t>
  </si>
  <si>
    <t>10000</t>
  </si>
  <si>
    <t>300000</t>
  </si>
  <si>
    <t>app1</t>
  </si>
  <si>
    <t>ota_1</t>
  </si>
  <si>
    <t>310000</t>
  </si>
  <si>
    <t>spiffs</t>
  </si>
  <si>
    <t>Offset dec</t>
  </si>
  <si>
    <t>Size dec</t>
  </si>
  <si>
    <t>model</t>
  </si>
  <si>
    <t>coredump</t>
  </si>
  <si>
    <t>littlefs</t>
  </si>
  <si>
    <t>100000</t>
  </si>
  <si>
    <t>800000</t>
  </si>
  <si>
    <t>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</si>
</sst>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1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B558-9619-403C-AFF2-7CFFF470A09C}">
  <dimension ref="A1:K10"/>
  <sheetViews>
    <sheetView tabSelected="1" workbookViewId="0">
      <selection activeCell="E8" sqref="E8"/>
    </sheetView>
  </sheetViews>
  <sheetFormatPr defaultRowHeight="14.3" x14ac:dyDescent="0.25"/>
  <cols>
    <col min="4" max="5" width="10.125" customWidth="1"/>
    <col min="6" max="7" width="10.125" style="5" customWidth="1"/>
    <col min="8" max="8" width="10.125" customWidth="1"/>
    <col min="9" max="9" width="10.125" style="3" customWidth="1"/>
  </cols>
  <sheetData>
    <row r="1" spans="1:11" s="1" customFormat="1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4" t="s">
        <v>23</v>
      </c>
      <c r="G1" s="4" t="s">
        <v>24</v>
      </c>
      <c r="H1" s="1" t="s">
        <v>13</v>
      </c>
      <c r="I1" s="2" t="s">
        <v>13</v>
      </c>
    </row>
    <row r="2" spans="1:11" x14ac:dyDescent="0.25">
      <c r="A2" t="s">
        <v>5</v>
      </c>
      <c r="B2" t="s">
        <v>6</v>
      </c>
      <c r="C2" t="s">
        <v>5</v>
      </c>
      <c r="D2" s="6" t="s">
        <v>7</v>
      </c>
      <c r="E2" s="6" t="s">
        <v>8</v>
      </c>
      <c r="F2" s="5">
        <f t="shared" ref="F2:G9" si="0">HEX2DEC(D2)</f>
        <v>36864</v>
      </c>
      <c r="G2" s="5">
        <f t="shared" si="0"/>
        <v>20480</v>
      </c>
      <c r="H2" s="5"/>
    </row>
    <row r="3" spans="1:11" x14ac:dyDescent="0.25">
      <c r="A3" t="s">
        <v>9</v>
      </c>
      <c r="B3" t="s">
        <v>6</v>
      </c>
      <c r="C3" t="s">
        <v>10</v>
      </c>
      <c r="D3" s="7" t="s">
        <v>11</v>
      </c>
      <c r="E3" s="6" t="s">
        <v>12</v>
      </c>
      <c r="F3" s="5">
        <f t="shared" si="0"/>
        <v>57344</v>
      </c>
      <c r="G3" s="5">
        <f t="shared" si="0"/>
        <v>8192</v>
      </c>
      <c r="H3" s="5">
        <f t="shared" ref="H3:H10" si="1">+F2+G2</f>
        <v>57344</v>
      </c>
    </row>
    <row r="4" spans="1:11" x14ac:dyDescent="0.25">
      <c r="A4" t="s">
        <v>14</v>
      </c>
      <c r="B4" t="s">
        <v>15</v>
      </c>
      <c r="C4" t="s">
        <v>16</v>
      </c>
      <c r="D4" s="6" t="s">
        <v>17</v>
      </c>
      <c r="E4" s="6" t="s">
        <v>18</v>
      </c>
      <c r="F4" s="5">
        <f t="shared" si="0"/>
        <v>65536</v>
      </c>
      <c r="G4" s="5">
        <f t="shared" si="0"/>
        <v>3145728</v>
      </c>
      <c r="H4" s="5">
        <f t="shared" si="1"/>
        <v>65536</v>
      </c>
      <c r="I4" s="3" t="str">
        <f t="shared" ref="I4:I10" si="2">"0x"&amp;DEC2HEX(H4)</f>
        <v>0x10000</v>
      </c>
    </row>
    <row r="5" spans="1:11" x14ac:dyDescent="0.25">
      <c r="A5" t="s">
        <v>19</v>
      </c>
      <c r="B5" t="s">
        <v>15</v>
      </c>
      <c r="C5" t="s">
        <v>20</v>
      </c>
      <c r="D5" s="6" t="s">
        <v>21</v>
      </c>
      <c r="E5" s="6" t="s">
        <v>18</v>
      </c>
      <c r="F5" s="5">
        <f t="shared" si="0"/>
        <v>3211264</v>
      </c>
      <c r="G5" s="5">
        <f t="shared" si="0"/>
        <v>3145728</v>
      </c>
      <c r="H5" s="5">
        <f t="shared" si="1"/>
        <v>3211264</v>
      </c>
      <c r="I5" s="3" t="str">
        <f t="shared" si="2"/>
        <v>0x310000</v>
      </c>
      <c r="K5" s="5"/>
    </row>
    <row r="6" spans="1:11" x14ac:dyDescent="0.25">
      <c r="A6" t="s">
        <v>26</v>
      </c>
      <c r="B6" t="s">
        <v>6</v>
      </c>
      <c r="C6" t="s">
        <v>26</v>
      </c>
      <c r="D6" s="7"/>
      <c r="E6" s="6" t="s">
        <v>17</v>
      </c>
      <c r="F6" s="5">
        <f>+H6</f>
        <v>6356992</v>
      </c>
      <c r="G6" s="5">
        <f t="shared" ref="G6" si="3">HEX2DEC(E6)</f>
        <v>65536</v>
      </c>
      <c r="H6" s="5">
        <f t="shared" ref="H6" si="4">+F5+G5</f>
        <v>6356992</v>
      </c>
      <c r="I6" s="3" t="str">
        <f t="shared" si="2"/>
        <v>0x610000</v>
      </c>
    </row>
    <row r="7" spans="1:11" x14ac:dyDescent="0.25">
      <c r="A7" t="s">
        <v>27</v>
      </c>
      <c r="B7" t="s">
        <v>6</v>
      </c>
      <c r="C7" t="s">
        <v>22</v>
      </c>
      <c r="D7" s="6"/>
      <c r="E7" s="8" t="s">
        <v>30</v>
      </c>
      <c r="F7" s="5">
        <f>+H7</f>
        <v>6422528</v>
      </c>
      <c r="G7" s="5">
        <f t="shared" si="0"/>
        <v>524288</v>
      </c>
      <c r="H7" s="5">
        <f>+F6+G6</f>
        <v>6422528</v>
      </c>
      <c r="I7" s="3" t="str">
        <f t="shared" si="2"/>
        <v>0x620000</v>
      </c>
    </row>
    <row r="8" spans="1:11" x14ac:dyDescent="0.25">
      <c r="A8" t="s">
        <v>22</v>
      </c>
      <c r="B8" t="s">
        <v>6</v>
      </c>
      <c r="C8" t="s">
        <v>22</v>
      </c>
      <c r="D8" s="6"/>
      <c r="E8" s="8" t="s">
        <v>28</v>
      </c>
      <c r="F8" s="5">
        <f>+H8</f>
        <v>6946816</v>
      </c>
      <c r="G8" s="5">
        <f t="shared" si="0"/>
        <v>1048576</v>
      </c>
      <c r="H8" s="5">
        <f t="shared" si="1"/>
        <v>6946816</v>
      </c>
      <c r="I8" s="3" t="str">
        <f t="shared" si="2"/>
        <v>0x6A0000</v>
      </c>
    </row>
    <row r="9" spans="1:11" x14ac:dyDescent="0.25">
      <c r="A9" t="s">
        <v>25</v>
      </c>
      <c r="B9" t="s">
        <v>6</v>
      </c>
      <c r="C9" t="s">
        <v>22</v>
      </c>
      <c r="D9" s="7"/>
      <c r="E9" s="6" t="s">
        <v>29</v>
      </c>
      <c r="F9" s="5">
        <f>+H9</f>
        <v>7995392</v>
      </c>
      <c r="G9" s="5">
        <f t="shared" si="0"/>
        <v>8388608</v>
      </c>
      <c r="H9" s="5">
        <f t="shared" si="1"/>
        <v>7995392</v>
      </c>
      <c r="I9" s="3" t="str">
        <f t="shared" si="2"/>
        <v>0x7A0000</v>
      </c>
    </row>
    <row r="10" spans="1:11" x14ac:dyDescent="0.25">
      <c r="H10" s="5">
        <f t="shared" si="1"/>
        <v>16384000</v>
      </c>
      <c r="I10" s="3" t="str">
        <f t="shared" si="2"/>
        <v>0xFA0000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Waldmann</dc:creator>
  <cp:lastModifiedBy>Bernd Waldmann</cp:lastModifiedBy>
  <dcterms:created xsi:type="dcterms:W3CDTF">2025-10-12T09:51:20Z</dcterms:created>
  <dcterms:modified xsi:type="dcterms:W3CDTF">2025-10-27T19:08:40Z</dcterms:modified>
</cp:coreProperties>
</file>