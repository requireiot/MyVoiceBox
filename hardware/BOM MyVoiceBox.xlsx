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nd\Documents\Documents\Projects\HomeAutomation\MyVoiceBox\hardware\"/>
    </mc:Choice>
  </mc:AlternateContent>
  <xr:revisionPtr revIDLastSave="0" documentId="13_ncr:1_{12A07042-F9CF-469B-8D06-3B24696231E0}" xr6:coauthVersionLast="47" xr6:coauthVersionMax="47" xr10:uidLastSave="{00000000-0000-0000-0000-000000000000}"/>
  <bookViews>
    <workbookView xWindow="20445" yWindow="109" windowWidth="26219" windowHeight="16125" xr2:uid="{162F9ED6-7069-4C96-8506-2A1BA69CB1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1" l="1"/>
  <c r="F12" i="1" s="1"/>
  <c r="B11" i="1"/>
  <c r="F11" i="1" s="1"/>
  <c r="E15" i="1"/>
  <c r="F15" i="1"/>
  <c r="E14" i="1"/>
  <c r="F14" i="1" s="1"/>
  <c r="E13" i="1"/>
  <c r="F13" i="1" s="1"/>
  <c r="E12" i="1"/>
  <c r="E16" i="1"/>
  <c r="F16" i="1" s="1"/>
  <c r="E11" i="1"/>
  <c r="E18" i="1" l="1"/>
  <c r="E9" i="1"/>
  <c r="F9" i="1" s="1"/>
  <c r="F18" i="1" l="1"/>
  <c r="E10" i="1"/>
  <c r="F10" i="1" s="1"/>
  <c r="E17" i="1"/>
  <c r="F17" i="1" s="1"/>
  <c r="E8" i="1" l="1"/>
  <c r="F8" i="1" s="1"/>
  <c r="E7" i="1" l="1"/>
  <c r="F7" i="1" s="1"/>
  <c r="E6" i="1"/>
  <c r="F6" i="1" s="1"/>
  <c r="E5" i="1"/>
  <c r="F5" i="1" s="1"/>
  <c r="E4" i="1"/>
  <c r="F4" i="1" s="1"/>
  <c r="E3" i="1"/>
  <c r="F3" i="1" s="1"/>
  <c r="E2" i="1"/>
  <c r="F2" i="1" s="1"/>
  <c r="F23" i="1" l="1"/>
</calcChain>
</file>

<file path=xl/sharedStrings.xml><?xml version="1.0" encoding="utf-8"?>
<sst xmlns="http://schemas.openxmlformats.org/spreadsheetml/2006/main" count="42" uniqueCount="28">
  <si>
    <t>Item</t>
  </si>
  <si>
    <t>qty</t>
  </si>
  <si>
    <t>lot size</t>
  </si>
  <si>
    <t>€/lot</t>
  </si>
  <si>
    <t>€/pc</t>
  </si>
  <si>
    <t>cost</t>
  </si>
  <si>
    <t>vendor</t>
  </si>
  <si>
    <t>part #</t>
  </si>
  <si>
    <t>Aliexpress</t>
  </si>
  <si>
    <t>7x9CM 70X90mm Prototype PCB Breadboard Board For ESP</t>
  </si>
  <si>
    <t>100x60x25mm case</t>
  </si>
  <si>
    <t>ESP32-S3 16R8 Module</t>
  </si>
  <si>
    <t>INMP441 module</t>
  </si>
  <si>
    <t>MAX98357 breakout</t>
  </si>
  <si>
    <t>micro USB breakout</t>
  </si>
  <si>
    <t>Amazon speaker</t>
  </si>
  <si>
    <t>Amazon</t>
  </si>
  <si>
    <t>ASIN B07DDGBL5T</t>
  </si>
  <si>
    <t>Prototype PCB for ESP8266/ESP32</t>
  </si>
  <si>
    <t>RGB LED 5mm common anode</t>
  </si>
  <si>
    <t>JST XH2.54 2-pin 90°</t>
  </si>
  <si>
    <t>JST XH2.54 female</t>
  </si>
  <si>
    <t>2,54mm pin header male</t>
  </si>
  <si>
    <t>2,54mm pin header female</t>
  </si>
  <si>
    <t>HT7833 voltage regulator</t>
  </si>
  <si>
    <t>Push button switch</t>
  </si>
  <si>
    <t>10uF capacitor</t>
  </si>
  <si>
    <t>100µF capacitor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</si>
</sst>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3" fillId="0" borderId="0" xfId="0" applyFont="1" applyAlignment="1">
      <alignment horizontal="center"/>
    </xf>
    <xf numFmtId="44" fontId="0" fillId="0" borderId="0" xfId="1" applyFont="1"/>
    <xf numFmtId="44" fontId="2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721A0-4D48-4CCD-B50B-D2473CB0F104}">
  <dimension ref="A1:H23"/>
  <sheetViews>
    <sheetView tabSelected="1" workbookViewId="0">
      <selection activeCell="B13" sqref="B13"/>
    </sheetView>
  </sheetViews>
  <sheetFormatPr defaultRowHeight="14.3" x14ac:dyDescent="0.25"/>
  <cols>
    <col min="1" max="1" width="27.875" customWidth="1"/>
    <col min="7" max="7" width="12.375" customWidth="1"/>
    <col min="8" max="8" width="27.37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11</v>
      </c>
      <c r="B2">
        <v>1</v>
      </c>
      <c r="C2">
        <v>1</v>
      </c>
      <c r="D2" s="2">
        <v>3.68</v>
      </c>
      <c r="E2" s="2">
        <f t="shared" ref="E2:E9" si="0">+D2/C2</f>
        <v>3.68</v>
      </c>
      <c r="F2" s="2">
        <f t="shared" ref="F2:F9" si="1">+E2*B2</f>
        <v>3.68</v>
      </c>
      <c r="G2" t="s">
        <v>8</v>
      </c>
    </row>
    <row r="3" spans="1:8" x14ac:dyDescent="0.25">
      <c r="A3" t="s">
        <v>18</v>
      </c>
      <c r="B3">
        <v>1</v>
      </c>
      <c r="C3">
        <v>1</v>
      </c>
      <c r="D3" s="2">
        <v>1.64</v>
      </c>
      <c r="E3" s="2">
        <f t="shared" si="0"/>
        <v>1.64</v>
      </c>
      <c r="F3" s="2">
        <f t="shared" si="1"/>
        <v>1.64</v>
      </c>
      <c r="G3" t="s">
        <v>8</v>
      </c>
      <c r="H3" t="s">
        <v>9</v>
      </c>
    </row>
    <row r="4" spans="1:8" x14ac:dyDescent="0.25">
      <c r="A4" t="s">
        <v>10</v>
      </c>
      <c r="B4">
        <v>1</v>
      </c>
      <c r="C4">
        <v>5</v>
      </c>
      <c r="D4" s="2">
        <v>5.04</v>
      </c>
      <c r="E4" s="2">
        <f t="shared" si="0"/>
        <v>1.008</v>
      </c>
      <c r="F4" s="2">
        <f t="shared" si="1"/>
        <v>1.008</v>
      </c>
      <c r="G4" t="s">
        <v>8</v>
      </c>
    </row>
    <row r="5" spans="1:8" x14ac:dyDescent="0.25">
      <c r="A5" t="s">
        <v>12</v>
      </c>
      <c r="B5">
        <v>2</v>
      </c>
      <c r="C5">
        <v>1</v>
      </c>
      <c r="D5" s="2">
        <v>1.39</v>
      </c>
      <c r="E5" s="2">
        <f t="shared" si="0"/>
        <v>1.39</v>
      </c>
      <c r="F5" s="2">
        <f t="shared" si="1"/>
        <v>2.78</v>
      </c>
      <c r="G5" t="s">
        <v>8</v>
      </c>
    </row>
    <row r="6" spans="1:8" x14ac:dyDescent="0.25">
      <c r="A6" t="s">
        <v>13</v>
      </c>
      <c r="B6">
        <v>1</v>
      </c>
      <c r="C6">
        <v>1</v>
      </c>
      <c r="D6" s="2">
        <v>1.49</v>
      </c>
      <c r="E6" s="2">
        <f t="shared" si="0"/>
        <v>1.49</v>
      </c>
      <c r="F6" s="2">
        <f t="shared" si="1"/>
        <v>1.49</v>
      </c>
      <c r="G6" t="s">
        <v>8</v>
      </c>
    </row>
    <row r="7" spans="1:8" x14ac:dyDescent="0.25">
      <c r="A7" t="s">
        <v>14</v>
      </c>
      <c r="B7">
        <v>1</v>
      </c>
      <c r="C7">
        <v>10</v>
      </c>
      <c r="D7" s="2">
        <v>1.05</v>
      </c>
      <c r="E7" s="2">
        <f t="shared" si="0"/>
        <v>0.10500000000000001</v>
      </c>
      <c r="F7" s="2">
        <f t="shared" si="1"/>
        <v>0.10500000000000001</v>
      </c>
      <c r="G7" t="s">
        <v>8</v>
      </c>
    </row>
    <row r="8" spans="1:8" x14ac:dyDescent="0.25">
      <c r="A8" t="s">
        <v>19</v>
      </c>
      <c r="B8">
        <v>1</v>
      </c>
      <c r="C8">
        <v>50</v>
      </c>
      <c r="D8" s="2">
        <v>2.29</v>
      </c>
      <c r="E8" s="2">
        <f t="shared" si="0"/>
        <v>4.58E-2</v>
      </c>
      <c r="F8" s="2">
        <f t="shared" si="1"/>
        <v>4.58E-2</v>
      </c>
      <c r="G8" t="s">
        <v>8</v>
      </c>
    </row>
    <row r="9" spans="1:8" x14ac:dyDescent="0.25">
      <c r="A9" t="s">
        <v>20</v>
      </c>
      <c r="B9">
        <v>1</v>
      </c>
      <c r="C9">
        <v>100</v>
      </c>
      <c r="D9" s="2">
        <v>1.45</v>
      </c>
      <c r="E9" s="2">
        <f t="shared" si="0"/>
        <v>1.4499999999999999E-2</v>
      </c>
      <c r="F9" s="2">
        <f t="shared" si="1"/>
        <v>1.4499999999999999E-2</v>
      </c>
      <c r="G9" t="s">
        <v>8</v>
      </c>
    </row>
    <row r="10" spans="1:8" x14ac:dyDescent="0.25">
      <c r="A10" t="s">
        <v>21</v>
      </c>
      <c r="B10">
        <v>1</v>
      </c>
      <c r="C10">
        <v>100</v>
      </c>
      <c r="D10" s="2">
        <v>1.39</v>
      </c>
      <c r="E10" s="2">
        <f t="shared" ref="E10:E12" si="2">+D10/C10</f>
        <v>1.3899999999999999E-2</v>
      </c>
      <c r="F10" s="2">
        <f t="shared" ref="F10:F12" si="3">+E10*B10</f>
        <v>1.3899999999999999E-2</v>
      </c>
      <c r="G10" t="s">
        <v>8</v>
      </c>
    </row>
    <row r="11" spans="1:8" x14ac:dyDescent="0.25">
      <c r="A11" t="s">
        <v>22</v>
      </c>
      <c r="B11">
        <f>4+5+14+13</f>
        <v>36</v>
      </c>
      <c r="C11">
        <v>400</v>
      </c>
      <c r="D11" s="2">
        <v>0.48</v>
      </c>
      <c r="E11" s="2">
        <f t="shared" si="2"/>
        <v>1.1999999999999999E-3</v>
      </c>
      <c r="F11" s="2">
        <f t="shared" si="3"/>
        <v>4.3199999999999995E-2</v>
      </c>
      <c r="G11" t="s">
        <v>8</v>
      </c>
    </row>
    <row r="12" spans="1:8" x14ac:dyDescent="0.25">
      <c r="A12" t="s">
        <v>23</v>
      </c>
      <c r="B12">
        <f>4+5+4+6</f>
        <v>19</v>
      </c>
      <c r="C12">
        <v>400</v>
      </c>
      <c r="D12" s="2">
        <v>2.4900000000000002</v>
      </c>
      <c r="E12" s="2">
        <f t="shared" si="2"/>
        <v>6.2250000000000005E-3</v>
      </c>
      <c r="F12" s="2">
        <f t="shared" si="3"/>
        <v>0.11827500000000001</v>
      </c>
      <c r="G12" t="s">
        <v>8</v>
      </c>
    </row>
    <row r="13" spans="1:8" x14ac:dyDescent="0.25">
      <c r="A13" t="s">
        <v>24</v>
      </c>
      <c r="B13">
        <v>1</v>
      </c>
      <c r="C13">
        <v>10</v>
      </c>
      <c r="D13" s="2">
        <v>1.08</v>
      </c>
      <c r="E13" s="2">
        <f t="shared" ref="E13" si="4">+D13/C13</f>
        <v>0.10800000000000001</v>
      </c>
      <c r="F13" s="2">
        <f t="shared" ref="F13" si="5">+E13*B13</f>
        <v>0.10800000000000001</v>
      </c>
      <c r="G13" t="s">
        <v>8</v>
      </c>
    </row>
    <row r="14" spans="1:8" x14ac:dyDescent="0.25">
      <c r="A14" t="s">
        <v>26</v>
      </c>
      <c r="B14">
        <v>2</v>
      </c>
      <c r="C14">
        <v>100</v>
      </c>
      <c r="D14" s="2">
        <v>1.52</v>
      </c>
      <c r="E14" s="2">
        <f t="shared" ref="E14:E15" si="6">+D14/C14</f>
        <v>1.52E-2</v>
      </c>
      <c r="F14" s="2">
        <f t="shared" ref="F14:F15" si="7">+E14*B14</f>
        <v>3.04E-2</v>
      </c>
      <c r="G14" t="s">
        <v>8</v>
      </c>
    </row>
    <row r="15" spans="1:8" x14ac:dyDescent="0.25">
      <c r="A15" t="s">
        <v>27</v>
      </c>
      <c r="B15">
        <v>1</v>
      </c>
      <c r="C15">
        <v>100</v>
      </c>
      <c r="D15" s="2">
        <v>2.59</v>
      </c>
      <c r="E15" s="2">
        <f t="shared" si="6"/>
        <v>2.5899999999999999E-2</v>
      </c>
      <c r="F15" s="2">
        <f t="shared" si="7"/>
        <v>2.5899999999999999E-2</v>
      </c>
      <c r="G15" t="s">
        <v>8</v>
      </c>
    </row>
    <row r="16" spans="1:8" x14ac:dyDescent="0.25">
      <c r="A16" t="s">
        <v>25</v>
      </c>
      <c r="B16">
        <v>2</v>
      </c>
      <c r="C16">
        <v>100</v>
      </c>
      <c r="D16" s="2">
        <v>1.59</v>
      </c>
      <c r="E16" s="2">
        <f t="shared" ref="E16" si="8">+D16/C16</f>
        <v>1.5900000000000001E-2</v>
      </c>
      <c r="F16" s="2">
        <f t="shared" ref="F16" si="9">+E16*B16</f>
        <v>3.1800000000000002E-2</v>
      </c>
      <c r="G16" t="s">
        <v>8</v>
      </c>
    </row>
    <row r="17" spans="1:8" x14ac:dyDescent="0.25">
      <c r="C17">
        <v>1</v>
      </c>
      <c r="D17" s="2"/>
      <c r="E17" s="2">
        <f t="shared" ref="E17:E18" si="10">+D17/C17</f>
        <v>0</v>
      </c>
      <c r="F17" s="2">
        <f t="shared" ref="F17:F18" si="11">+E17*B17</f>
        <v>0</v>
      </c>
    </row>
    <row r="18" spans="1:8" x14ac:dyDescent="0.25">
      <c r="A18" t="s">
        <v>15</v>
      </c>
      <c r="B18">
        <v>1</v>
      </c>
      <c r="C18">
        <v>2</v>
      </c>
      <c r="D18" s="2">
        <v>16.989999999999998</v>
      </c>
      <c r="E18" s="2">
        <f t="shared" si="10"/>
        <v>8.4949999999999992</v>
      </c>
      <c r="F18" s="2">
        <f t="shared" si="11"/>
        <v>8.4949999999999992</v>
      </c>
      <c r="G18" t="s">
        <v>16</v>
      </c>
      <c r="H18" t="s">
        <v>17</v>
      </c>
    </row>
    <row r="23" spans="1:8" x14ac:dyDescent="0.25">
      <c r="F23" s="3">
        <f>SUM(F2:F22)</f>
        <v>19.629775000000002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bernd</dc:creator>
  <cp:lastModifiedBy>Bernd Waldmann</cp:lastModifiedBy>
  <dcterms:created xsi:type="dcterms:W3CDTF">2023-05-19T17:51:26Z</dcterms:created>
  <dcterms:modified xsi:type="dcterms:W3CDTF">2025-11-01T16:20:56Z</dcterms:modified>
</cp:coreProperties>
</file>